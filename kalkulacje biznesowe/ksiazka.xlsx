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kalkulacje biznesowe\"/>
    </mc:Choice>
  </mc:AlternateContent>
  <xr:revisionPtr revIDLastSave="0" documentId="8_{5F4BEA59-82A3-46AF-8061-78C814E11A47}" xr6:coauthVersionLast="47" xr6:coauthVersionMax="47" xr10:uidLastSave="{00000000-0000-0000-0000-000000000000}"/>
  <bookViews>
    <workbookView xWindow="-108" yWindow="-108" windowWidth="23256" windowHeight="13896" xr2:uid="{9DED5405-3676-4CF1-A6E1-DC949BEFDE0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B4" i="1"/>
  <c r="F4" i="1" s="1"/>
  <c r="L4" i="1" s="1"/>
  <c r="K4" i="1"/>
  <c r="M4" i="1" s="1"/>
  <c r="N4" i="1" l="1"/>
</calcChain>
</file>

<file path=xl/sharedStrings.xml><?xml version="1.0" encoding="utf-8"?>
<sst xmlns="http://schemas.openxmlformats.org/spreadsheetml/2006/main" count="31" uniqueCount="26">
  <si>
    <t>zakupy</t>
  </si>
  <si>
    <t>cena w sklepie foskal</t>
  </si>
  <si>
    <t>oferty z innych sklepów</t>
  </si>
  <si>
    <t>wybrana oferta</t>
  </si>
  <si>
    <t>wysyłka</t>
  </si>
  <si>
    <t>podsumowanie kosztów</t>
  </si>
  <si>
    <t>cena zakupu</t>
  </si>
  <si>
    <t>koszt wysylki</t>
  </si>
  <si>
    <t>razem</t>
  </si>
  <si>
    <t>global ekspress</t>
  </si>
  <si>
    <t>oferty innych kurierów</t>
  </si>
  <si>
    <t>cena bez kodu</t>
  </si>
  <si>
    <t>cena z kodem</t>
  </si>
  <si>
    <t>sklep x</t>
  </si>
  <si>
    <t>sklep y</t>
  </si>
  <si>
    <t>sklep z</t>
  </si>
  <si>
    <t>cena brutto</t>
  </si>
  <si>
    <t>kueir x</t>
  </si>
  <si>
    <t>kurier y</t>
  </si>
  <si>
    <t>kurier z</t>
  </si>
  <si>
    <t>https://www.epaka.pl/paczki-do-kanady?gad_source=1&amp;gad_campaignid=11150982164&amp;gbraid=0AAAAADrNJ8s0W6RSMMfREWLz2GxWDm9YU&amp;gclid=CjwKCAjw89jGBhB0EiwA2o1OnyjfMHpWcH8oE991eKDPIYJdfPXq5WyxfkmWMobBdF6QH5i7ILDUSBoCYVQQAvD_BwE</t>
  </si>
  <si>
    <t>[dostęp 26.09.2025]</t>
  </si>
  <si>
    <t>https://www.gwfoksal.pl/historia-lego-opowiesc-o-rodzinie-ktora-stworzyla-najslynniejsza-zabawke-na-swiecie-jens-andersen-skub3e9eb67319d3e3e45d1.html</t>
  </si>
  <si>
    <t>https://www.empik.com/historia-lego-opowiesc-o-rodzinie-ktora-stworzyla-najslynniejsza-zabawke-na-swiecie-jens-andersen,p1539428088,ksiazka-p</t>
  </si>
  <si>
    <t>https://natuli.pl/pl/p/Historia-LEGO.-Opowiesc-o-rodzinie%2C-ktora-stworzyla-najslynniejsza-zabawke-na-swiecie/24949?srsltid=AfmBOoqzu1CI_xskPcQQS2krqJYzrtV3axVjyQLGfFV-XbdsP-xNjIMK</t>
  </si>
  <si>
    <t>https://allegro.pl/oferta/historia-lego-opowiesc-o-rodzinie-tworcow-najslynniejszych-zabawek-16697180225?srsltid=AfmBOopMnAhH_7CY81PUi4R27jztvgO-QwFeUlrr8XY--GCB_hpPESHX&amp;dd_referrer=https%3A%2F%2Fwww.google.com%2F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</si>
</sst>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0" borderId="0" xfId="1" applyAlignment="1">
      <alignment horizontal="center"/>
    </xf>
    <xf numFmtId="164" fontId="0" fillId="0" borderId="1" xfId="0" applyNumberFormat="1" applyBorder="1" applyAlignment="1">
      <alignment wrapText="1"/>
    </xf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tuli.pl/pl/p/Historia-LEGO.-Opowiesc-o-rodzinie%2C-ktora-stworzyla-najslynniejsza-zabawke-na-swiecie/24949?srsltid=AfmBOoqzu1CI_xskPcQQS2krqJYzrtV3axVjyQLGfFV-XbdsP-xNjIMK" TargetMode="External"/><Relationship Id="rId2" Type="http://schemas.openxmlformats.org/officeDocument/2006/relationships/hyperlink" Target="https://www.empik.com/historia-lego-opowiesc-o-rodzinie-ktora-stworzyla-najslynniejsza-zabawke-na-swiecie-jens-andersen,p1539428088,ksiazka-p" TargetMode="External"/><Relationship Id="rId1" Type="http://schemas.openxmlformats.org/officeDocument/2006/relationships/hyperlink" Target="https://www.epaka.pl/paczki-do-kanady?gad_source=1&amp;gad_campaignid=11150982164&amp;gbraid=0AAAAADrNJ8s0W6RSMMfREWLz2GxWDm9YU&amp;gclid=CjwKCAjw89jGBhB0EiwA2o1OnyjfMHpWcH8oE991eKDPIYJdfPXq5WyxfkmWMobBdF6QH5i7ILDUSBoCYVQ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EAEC-C333-4F7B-A995-C79E23C2E020}">
  <dimension ref="A1:N17"/>
  <sheetViews>
    <sheetView tabSelected="1" workbookViewId="0">
      <selection activeCell="N4" sqref="N4"/>
    </sheetView>
  </sheetViews>
  <sheetFormatPr defaultRowHeight="14.4" x14ac:dyDescent="0.3"/>
  <cols>
    <col min="7" max="7" width="19.77734375" customWidth="1"/>
    <col min="10" max="10" width="11.6640625" customWidth="1"/>
  </cols>
  <sheetData>
    <row r="1" spans="1:14" x14ac:dyDescent="0.3">
      <c r="A1" s="3" t="s">
        <v>0</v>
      </c>
      <c r="B1" s="3"/>
      <c r="C1" s="3"/>
      <c r="D1" s="3"/>
      <c r="E1" s="3"/>
      <c r="F1" s="3"/>
      <c r="G1" s="4" t="s">
        <v>4</v>
      </c>
      <c r="H1" s="4"/>
      <c r="I1" s="4"/>
      <c r="J1" s="4"/>
      <c r="K1" s="4"/>
      <c r="L1" s="5" t="s">
        <v>5</v>
      </c>
      <c r="M1" s="5"/>
      <c r="N1" s="5"/>
    </row>
    <row r="2" spans="1:14" ht="15.6" customHeight="1" x14ac:dyDescent="0.3">
      <c r="A2" s="2" t="s">
        <v>1</v>
      </c>
      <c r="B2" s="2"/>
      <c r="C2" s="2" t="s">
        <v>2</v>
      </c>
      <c r="D2" s="2"/>
      <c r="E2" s="2"/>
      <c r="F2" s="2" t="s">
        <v>3</v>
      </c>
      <c r="G2" s="6" t="s">
        <v>9</v>
      </c>
      <c r="H2" s="7" t="s">
        <v>10</v>
      </c>
      <c r="I2" s="7"/>
      <c r="J2" s="7"/>
      <c r="K2" s="7" t="s">
        <v>3</v>
      </c>
      <c r="L2" s="8" t="s">
        <v>6</v>
      </c>
      <c r="M2" s="8" t="s">
        <v>7</v>
      </c>
      <c r="N2" s="8" t="s">
        <v>8</v>
      </c>
    </row>
    <row r="3" spans="1:14" ht="28.8" x14ac:dyDescent="0.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2"/>
      <c r="G3" s="6" t="s">
        <v>16</v>
      </c>
      <c r="H3" s="6" t="s">
        <v>17</v>
      </c>
      <c r="I3" s="6" t="s">
        <v>18</v>
      </c>
      <c r="J3" s="6" t="s">
        <v>19</v>
      </c>
      <c r="K3" s="7"/>
      <c r="L3" s="8"/>
      <c r="M3" s="8"/>
      <c r="N3" s="8"/>
    </row>
    <row r="4" spans="1:14" ht="31.2" customHeight="1" x14ac:dyDescent="0.3">
      <c r="A4" s="11">
        <v>59.99</v>
      </c>
      <c r="B4" s="11">
        <f>A4-(A4*0.08)</f>
        <v>55.190800000000003</v>
      </c>
      <c r="C4" s="11">
        <v>54.99</v>
      </c>
      <c r="D4" s="11">
        <v>79.88</v>
      </c>
      <c r="E4" s="11">
        <v>67.989999999999995</v>
      </c>
      <c r="F4" s="11">
        <f>MIN(A4:E4)</f>
        <v>54.99</v>
      </c>
      <c r="G4" s="11">
        <v>46.92</v>
      </c>
      <c r="H4" s="11">
        <v>168.9</v>
      </c>
      <c r="I4" s="11">
        <v>206.4</v>
      </c>
      <c r="J4" s="11">
        <v>300</v>
      </c>
      <c r="K4" s="11">
        <f>MIN(G4:J4)</f>
        <v>46.92</v>
      </c>
      <c r="L4" s="11">
        <f>F4</f>
        <v>54.99</v>
      </c>
      <c r="M4" s="11">
        <f>K4</f>
        <v>46.92</v>
      </c>
      <c r="N4" s="11">
        <f>L4+M4</f>
        <v>101.91</v>
      </c>
    </row>
    <row r="5" spans="1:14" x14ac:dyDescent="0.3">
      <c r="G5">
        <f>38.15*1.23</f>
        <v>46.924499999999995</v>
      </c>
    </row>
    <row r="13" spans="1:14" x14ac:dyDescent="0.3">
      <c r="A13" t="s">
        <v>22</v>
      </c>
      <c r="I13" s="1" t="s">
        <v>21</v>
      </c>
      <c r="J13" s="1"/>
    </row>
    <row r="14" spans="1:14" x14ac:dyDescent="0.3">
      <c r="A14" s="10" t="s">
        <v>20</v>
      </c>
      <c r="B14" s="10"/>
      <c r="C14" s="10"/>
      <c r="D14" s="10"/>
      <c r="E14" s="10"/>
      <c r="F14" s="10"/>
      <c r="G14" s="10"/>
      <c r="H14" s="10"/>
      <c r="I14" s="1" t="s">
        <v>21</v>
      </c>
      <c r="J14" s="1"/>
    </row>
    <row r="15" spans="1:14" x14ac:dyDescent="0.3">
      <c r="A15" s="12" t="s">
        <v>23</v>
      </c>
      <c r="I15" s="1" t="s">
        <v>21</v>
      </c>
      <c r="J15" s="1"/>
    </row>
    <row r="16" spans="1:14" x14ac:dyDescent="0.3">
      <c r="A16" s="12" t="s">
        <v>24</v>
      </c>
      <c r="I16" s="1" t="s">
        <v>21</v>
      </c>
      <c r="J16" s="1"/>
    </row>
    <row r="17" spans="1:10" x14ac:dyDescent="0.3">
      <c r="A17" t="s">
        <v>25</v>
      </c>
      <c r="I17" s="1" t="s">
        <v>21</v>
      </c>
      <c r="J17" s="1"/>
    </row>
  </sheetData>
  <mergeCells count="17">
    <mergeCell ref="I15:J15"/>
    <mergeCell ref="I16:J16"/>
    <mergeCell ref="I13:J13"/>
    <mergeCell ref="I17:J17"/>
    <mergeCell ref="A14:H14"/>
    <mergeCell ref="L1:N1"/>
    <mergeCell ref="L2:L3"/>
    <mergeCell ref="M2:M3"/>
    <mergeCell ref="N2:N3"/>
    <mergeCell ref="I14:J14"/>
    <mergeCell ref="A2:B2"/>
    <mergeCell ref="C2:E2"/>
    <mergeCell ref="A1:F1"/>
    <mergeCell ref="F2:F3"/>
    <mergeCell ref="G1:K1"/>
    <mergeCell ref="H2:J2"/>
    <mergeCell ref="K2:K3"/>
  </mergeCells>
  <hyperlinks>
    <hyperlink ref="A14" r:id="rId1" xr:uid="{718CDC01-D3BA-4853-8E85-9AA10EE2A080}"/>
    <hyperlink ref="A15" r:id="rId2" xr:uid="{9856C560-D5D4-4350-9E5F-C76EEA3168B0}"/>
    <hyperlink ref="A16" r:id="rId3" xr:uid="{91D4451A-8650-4592-9436-6A7B462449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FILIPEK 😜😝</dc:creator>
  <cp:lastModifiedBy>FILIPEK 😜😝</cp:lastModifiedBy>
  <dcterms:created xsi:type="dcterms:W3CDTF">2025-09-26T08:55:46Z</dcterms:created>
  <dcterms:modified xsi:type="dcterms:W3CDTF">2025-09-26T10:26:47Z</dcterms:modified>
</cp:coreProperties>
</file>