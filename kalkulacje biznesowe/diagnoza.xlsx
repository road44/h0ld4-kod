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ocuments\kalkulacje biznesowe\"/>
    </mc:Choice>
  </mc:AlternateContent>
  <xr:revisionPtr revIDLastSave="0" documentId="13_ncr:1_{A6BEDFD4-5AFC-422B-8299-A063850B3790}" xr6:coauthVersionLast="47" xr6:coauthVersionMax="47" xr10:uidLastSave="{00000000-0000-0000-0000-000000000000}"/>
  <bookViews>
    <workbookView xWindow="-108" yWindow="-108" windowWidth="23256" windowHeight="13896" activeTab="2" xr2:uid="{67C4DD46-9F21-40C4-ADE9-F9506C6BBE39}"/>
  </bookViews>
  <sheets>
    <sheet name="zadanie1" sheetId="1" r:id="rId1"/>
    <sheet name="zadanie2" sheetId="2" r:id="rId2"/>
    <sheet name="zadanie3" sheetId="3" r:id="rId3"/>
    <sheet name="zadanie4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9" i="3" s="1"/>
  <c r="G3" i="3"/>
  <c r="G7" i="3" s="1"/>
  <c r="D3" i="3"/>
  <c r="D7" i="3" s="1"/>
  <c r="E3" i="3"/>
  <c r="E7" i="3" s="1"/>
  <c r="F4" i="1"/>
  <c r="F5" i="1"/>
  <c r="F6" i="1"/>
  <c r="F7" i="1"/>
  <c r="F8" i="1"/>
  <c r="F9" i="1"/>
  <c r="F3" i="1"/>
  <c r="I6" i="4"/>
  <c r="I7" i="4"/>
  <c r="I8" i="4"/>
  <c r="I5" i="4"/>
  <c r="I4" i="4"/>
  <c r="H11" i="4"/>
  <c r="H5" i="4"/>
  <c r="H6" i="4"/>
  <c r="H7" i="4"/>
  <c r="H8" i="4"/>
  <c r="H4" i="4"/>
  <c r="G8" i="3"/>
  <c r="G9" i="3"/>
  <c r="G10" i="3"/>
  <c r="G6" i="3"/>
  <c r="F7" i="3"/>
  <c r="F8" i="3"/>
  <c r="J5" i="2"/>
  <c r="J6" i="2"/>
  <c r="J4" i="2"/>
  <c r="C10" i="1"/>
  <c r="E4" i="1"/>
  <c r="E5" i="1"/>
  <c r="E6" i="1"/>
  <c r="E7" i="1"/>
  <c r="E8" i="1"/>
  <c r="E9" i="1"/>
  <c r="E3" i="1"/>
  <c r="D6" i="3" l="1"/>
  <c r="D10" i="3"/>
  <c r="D9" i="3"/>
  <c r="D8" i="3"/>
  <c r="E6" i="3"/>
  <c r="E10" i="3"/>
  <c r="E9" i="3"/>
  <c r="E8" i="3"/>
  <c r="F6" i="3"/>
  <c r="F10" i="3"/>
</calcChain>
</file>

<file path=xl/sharedStrings.xml><?xml version="1.0" encoding="utf-8"?>
<sst xmlns="http://schemas.openxmlformats.org/spreadsheetml/2006/main" count="46" uniqueCount="46">
  <si>
    <t>marchew</t>
  </si>
  <si>
    <t>pietruszka</t>
  </si>
  <si>
    <t>seler</t>
  </si>
  <si>
    <t>cebula</t>
  </si>
  <si>
    <t>burak</t>
  </si>
  <si>
    <t>pomidor</t>
  </si>
  <si>
    <t>ogórek</t>
  </si>
  <si>
    <t>1 euro =</t>
  </si>
  <si>
    <t>poniedziałek</t>
  </si>
  <si>
    <t>wtorek</t>
  </si>
  <si>
    <t>środa</t>
  </si>
  <si>
    <t>czwartek</t>
  </si>
  <si>
    <t>piątek</t>
  </si>
  <si>
    <t>sobota</t>
  </si>
  <si>
    <t>niedziela</t>
  </si>
  <si>
    <t>godzina</t>
  </si>
  <si>
    <t>srednia dla godzin pomiarów</t>
  </si>
  <si>
    <t>kurs waluty</t>
  </si>
  <si>
    <t>eur</t>
  </si>
  <si>
    <t>usd</t>
  </si>
  <si>
    <t>gbp</t>
  </si>
  <si>
    <t>chf</t>
  </si>
  <si>
    <t>PLN</t>
  </si>
  <si>
    <t>EUR</t>
  </si>
  <si>
    <t>USD</t>
  </si>
  <si>
    <t>GBP</t>
  </si>
  <si>
    <t>CHF</t>
  </si>
  <si>
    <t>klawiatura</t>
  </si>
  <si>
    <t>monitor</t>
  </si>
  <si>
    <t>mysz</t>
  </si>
  <si>
    <t>głośniki</t>
  </si>
  <si>
    <t>drukarka</t>
  </si>
  <si>
    <t>liczba znaków</t>
  </si>
  <si>
    <t>dzień 1</t>
  </si>
  <si>
    <t>dzień 2</t>
  </si>
  <si>
    <t>dzień 3</t>
  </si>
  <si>
    <t>dzień 4</t>
  </si>
  <si>
    <t>dzień 5</t>
  </si>
  <si>
    <t>suma</t>
  </si>
  <si>
    <t>nagroda</t>
  </si>
  <si>
    <t>pracownik A</t>
  </si>
  <si>
    <t>pracownik B</t>
  </si>
  <si>
    <t>pracownik C</t>
  </si>
  <si>
    <t>pracownik D</t>
  </si>
  <si>
    <t>pracownik E</t>
  </si>
  <si>
    <t>wszyscy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</si>
</sst>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zł&quot;"/>
    <numFmt numFmtId="165" formatCode="0.00&quot; kg&quot;"/>
    <numFmt numFmtId="166" formatCode="[$€-2]\ #,##0.00"/>
    <numFmt numFmtId="167" formatCode="[$$-409]#,##0.00"/>
    <numFmt numFmtId="168" formatCode="[$£-809]#,##0.00"/>
    <numFmt numFmtId="169" formatCode="#,##0.00\ [$CHF]"/>
  </numFmts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0" fontId="0" fillId="0" borderId="0" xfId="0" applyNumberForma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4" borderId="0" xfId="0" applyFill="1"/>
    <xf numFmtId="0" fontId="0" fillId="4" borderId="1" xfId="0" applyFill="1" applyBorder="1"/>
    <xf numFmtId="164" fontId="0" fillId="5" borderId="1" xfId="0" applyNumberFormat="1" applyFill="1" applyBorder="1"/>
    <xf numFmtId="166" fontId="0" fillId="5" borderId="1" xfId="0" applyNumberFormat="1" applyFill="1" applyBorder="1"/>
    <xf numFmtId="167" fontId="0" fillId="5" borderId="1" xfId="0" applyNumberFormat="1" applyFill="1" applyBorder="1"/>
    <xf numFmtId="168" fontId="0" fillId="5" borderId="1" xfId="0" applyNumberFormat="1" applyFill="1" applyBorder="1"/>
    <xf numFmtId="169" fontId="0" fillId="5" borderId="1" xfId="0" applyNumberFormat="1" applyFill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zadanie2!$B$4</c:f>
              <c:strCache>
                <c:ptCount val="1"/>
                <c:pt idx="0">
                  <c:v>07:00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zadanie2!$C$3:$I$3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zadanie2!$C$4:$I$4</c:f>
              <c:numCache>
                <c:formatCode>General</c:formatCode>
                <c:ptCount val="7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21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3-4820-9175-8C7A0A5BBF0E}"/>
            </c:ext>
          </c:extLst>
        </c:ser>
        <c:ser>
          <c:idx val="2"/>
          <c:order val="1"/>
          <c:tx>
            <c:strRef>
              <c:f>zadanie2!$B$5</c:f>
              <c:strCache>
                <c:ptCount val="1"/>
                <c:pt idx="0">
                  <c:v>14:00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zadanie2!$C$3:$I$3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zadanie2!$C$5:$I$5</c:f>
              <c:numCache>
                <c:formatCode>General</c:formatCode>
                <c:ptCount val="7"/>
                <c:pt idx="0">
                  <c:v>16</c:v>
                </c:pt>
                <c:pt idx="1">
                  <c:v>19</c:v>
                </c:pt>
                <c:pt idx="2">
                  <c:v>23</c:v>
                </c:pt>
                <c:pt idx="3">
                  <c:v>24</c:v>
                </c:pt>
                <c:pt idx="4">
                  <c:v>26</c:v>
                </c:pt>
                <c:pt idx="5">
                  <c:v>22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3-4820-9175-8C7A0A5BBF0E}"/>
            </c:ext>
          </c:extLst>
        </c:ser>
        <c:ser>
          <c:idx val="1"/>
          <c:order val="2"/>
          <c:tx>
            <c:strRef>
              <c:f>zadanie2!$B$6</c:f>
              <c:strCache>
                <c:ptCount val="1"/>
                <c:pt idx="0">
                  <c:v>19:00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zadanie2!$C$3:$I$3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zadanie2!$C$6:$I$6</c:f>
              <c:numCache>
                <c:formatCode>General</c:formatCode>
                <c:ptCount val="7"/>
                <c:pt idx="0">
                  <c:v>15</c:v>
                </c:pt>
                <c:pt idx="1">
                  <c:v>18</c:v>
                </c:pt>
                <c:pt idx="2">
                  <c:v>22</c:v>
                </c:pt>
                <c:pt idx="3">
                  <c:v>21</c:v>
                </c:pt>
                <c:pt idx="4">
                  <c:v>22</c:v>
                </c:pt>
                <c:pt idx="5">
                  <c:v>18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3-4820-9175-8C7A0A5BB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697871"/>
        <c:axId val="2116698351"/>
      </c:barChart>
      <c:catAx>
        <c:axId val="211669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16698351"/>
        <c:crosses val="autoZero"/>
        <c:auto val="1"/>
        <c:lblAlgn val="ctr"/>
        <c:lblOffset val="100"/>
        <c:noMultiLvlLbl val="0"/>
      </c:catAx>
      <c:valAx>
        <c:axId val="211669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1669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7</xdr:row>
      <xdr:rowOff>95250</xdr:rowOff>
    </xdr:from>
    <xdr:to>
      <xdr:col>8</xdr:col>
      <xdr:colOff>236220</xdr:colOff>
      <xdr:row>22</xdr:row>
      <xdr:rowOff>95250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E107C3E-EED3-0F0C-EB55-611C35C39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lip\Documents\kalkulacje%20biznesowe\archiwum_tab_a_2025.xls" TargetMode="External"/><Relationship Id="rId1" Type="http://schemas.openxmlformats.org/officeDocument/2006/relationships/externalLinkPath" Target="archiwum_tab_a_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ursy średnie"/>
      <sheetName val="Arkusz1"/>
    </sheetNames>
    <sheetDataSet>
      <sheetData sheetId="0">
        <row r="183">
          <cell r="C183">
            <v>3.5985999999999998</v>
          </cell>
          <cell r="I183">
            <v>4.2564000000000002</v>
          </cell>
          <cell r="K183">
            <v>4.5601000000000003</v>
          </cell>
          <cell r="L183">
            <v>4.9085000000000001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A18D-017E-4D99-8CA0-2F35D3656370}">
  <dimension ref="B1:F10"/>
  <sheetViews>
    <sheetView zoomScale="170" zoomScaleNormal="170" workbookViewId="0">
      <selection activeCell="F12" sqref="F12"/>
    </sheetView>
  </sheetViews>
  <sheetFormatPr defaultRowHeight="14.4" x14ac:dyDescent="0.3"/>
  <sheetData>
    <row r="1" spans="2:6" x14ac:dyDescent="0.3">
      <c r="B1" t="s">
        <v>7</v>
      </c>
      <c r="C1" s="1">
        <v>4.3099999999999996</v>
      </c>
    </row>
    <row r="3" spans="2:6" x14ac:dyDescent="0.3">
      <c r="B3" t="s">
        <v>0</v>
      </c>
      <c r="C3" s="2">
        <v>1.35</v>
      </c>
      <c r="D3" s="1">
        <v>2.16</v>
      </c>
      <c r="E3" s="1">
        <f>D3/C3</f>
        <v>1.6</v>
      </c>
      <c r="F3" s="3">
        <f>E3/$C$1</f>
        <v>0.37122969837587011</v>
      </c>
    </row>
    <row r="4" spans="2:6" x14ac:dyDescent="0.3">
      <c r="B4" t="s">
        <v>1</v>
      </c>
      <c r="C4" s="2">
        <v>0.65</v>
      </c>
      <c r="D4" s="1">
        <v>0.91</v>
      </c>
      <c r="E4" s="1">
        <f t="shared" ref="E4:E9" si="0">D4/C4</f>
        <v>1.4</v>
      </c>
      <c r="F4" s="3">
        <f t="shared" ref="F4:F9" si="1">E4/$C$1</f>
        <v>0.3248259860788863</v>
      </c>
    </row>
    <row r="5" spans="2:6" x14ac:dyDescent="0.3">
      <c r="B5" t="s">
        <v>2</v>
      </c>
      <c r="C5" s="2">
        <v>0.34</v>
      </c>
      <c r="D5" s="1">
        <v>1.36</v>
      </c>
      <c r="E5" s="1">
        <f t="shared" si="0"/>
        <v>4</v>
      </c>
      <c r="F5" s="3">
        <f t="shared" si="1"/>
        <v>0.92807424593967525</v>
      </c>
    </row>
    <row r="6" spans="2:6" x14ac:dyDescent="0.3">
      <c r="B6" t="s">
        <v>3</v>
      </c>
      <c r="C6" s="2">
        <v>1.1200000000000001</v>
      </c>
      <c r="D6" s="1">
        <v>2.8</v>
      </c>
      <c r="E6" s="1">
        <f t="shared" si="0"/>
        <v>2.4999999999999996</v>
      </c>
      <c r="F6" s="3">
        <f t="shared" si="1"/>
        <v>0.58004640371229699</v>
      </c>
    </row>
    <row r="7" spans="2:6" x14ac:dyDescent="0.3">
      <c r="B7" t="s">
        <v>4</v>
      </c>
      <c r="C7" s="2">
        <v>1.43</v>
      </c>
      <c r="D7" s="1">
        <v>2.86</v>
      </c>
      <c r="E7" s="1">
        <f t="shared" si="0"/>
        <v>2</v>
      </c>
      <c r="F7" s="3">
        <f t="shared" si="1"/>
        <v>0.46403712296983762</v>
      </c>
    </row>
    <row r="8" spans="2:6" x14ac:dyDescent="0.3">
      <c r="B8" t="s">
        <v>5</v>
      </c>
      <c r="C8" s="2">
        <v>2.63</v>
      </c>
      <c r="D8" s="1">
        <v>15.78</v>
      </c>
      <c r="E8" s="1">
        <f t="shared" si="0"/>
        <v>6</v>
      </c>
      <c r="F8" s="3">
        <f t="shared" si="1"/>
        <v>1.3921113689095128</v>
      </c>
    </row>
    <row r="9" spans="2:6" x14ac:dyDescent="0.3">
      <c r="B9" t="s">
        <v>6</v>
      </c>
      <c r="C9" s="2">
        <v>1.92</v>
      </c>
      <c r="D9" s="1">
        <v>11.52</v>
      </c>
      <c r="E9" s="1">
        <f t="shared" si="0"/>
        <v>6</v>
      </c>
      <c r="F9" s="3">
        <f t="shared" si="1"/>
        <v>1.3921113689095128</v>
      </c>
    </row>
    <row r="10" spans="2:6" x14ac:dyDescent="0.3">
      <c r="C10" s="2">
        <f>SUM(C3:C9)</f>
        <v>9.44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DC0A-3400-42F4-8788-E2E48B887A8F}">
  <dimension ref="B3:J7"/>
  <sheetViews>
    <sheetView workbookViewId="0">
      <selection activeCell="J4" sqref="J4"/>
    </sheetView>
  </sheetViews>
  <sheetFormatPr defaultRowHeight="14.4" x14ac:dyDescent="0.3"/>
  <cols>
    <col min="3" max="3" width="11.109375" customWidth="1"/>
    <col min="10" max="10" width="27.5546875" customWidth="1"/>
  </cols>
  <sheetData>
    <row r="3" spans="2:10" x14ac:dyDescent="0.3">
      <c r="B3" t="s">
        <v>15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s="6" t="s">
        <v>16</v>
      </c>
    </row>
    <row r="4" spans="2:10" x14ac:dyDescent="0.3">
      <c r="B4" s="4">
        <v>0.29166666666666669</v>
      </c>
      <c r="C4">
        <v>10</v>
      </c>
      <c r="D4">
        <v>13</v>
      </c>
      <c r="E4">
        <v>15</v>
      </c>
      <c r="F4">
        <v>18</v>
      </c>
      <c r="G4">
        <v>21</v>
      </c>
      <c r="H4">
        <v>21</v>
      </c>
      <c r="I4">
        <v>20</v>
      </c>
      <c r="J4" s="7">
        <f>AVERAGE(C4:I4)</f>
        <v>16.857142857142858</v>
      </c>
    </row>
    <row r="5" spans="2:10" x14ac:dyDescent="0.3">
      <c r="B5" s="4">
        <v>0.58333333333333337</v>
      </c>
      <c r="C5">
        <v>16</v>
      </c>
      <c r="D5">
        <v>19</v>
      </c>
      <c r="E5">
        <v>23</v>
      </c>
      <c r="F5">
        <v>24</v>
      </c>
      <c r="G5">
        <v>26</v>
      </c>
      <c r="H5">
        <v>22</v>
      </c>
      <c r="I5">
        <v>22</v>
      </c>
      <c r="J5" s="7">
        <f t="shared" ref="J5:J6" si="0">AVERAGE(C5:I5)</f>
        <v>21.714285714285715</v>
      </c>
    </row>
    <row r="6" spans="2:10" x14ac:dyDescent="0.3">
      <c r="B6" s="4">
        <v>0.79166666666666663</v>
      </c>
      <c r="C6">
        <v>15</v>
      </c>
      <c r="D6">
        <v>18</v>
      </c>
      <c r="E6">
        <v>22</v>
      </c>
      <c r="F6">
        <v>21</v>
      </c>
      <c r="G6">
        <v>22</v>
      </c>
      <c r="H6">
        <v>18</v>
      </c>
      <c r="I6">
        <v>17</v>
      </c>
      <c r="J6" s="7">
        <f t="shared" si="0"/>
        <v>19</v>
      </c>
    </row>
    <row r="7" spans="2:10" x14ac:dyDescent="0.3">
      <c r="C7" s="5"/>
      <c r="D7" s="5"/>
      <c r="E7" s="5"/>
      <c r="F7" s="5"/>
      <c r="G7" s="5"/>
      <c r="H7" s="5"/>
      <c r="I7" s="5"/>
    </row>
  </sheetData>
  <phoneticPr fontId="1" type="noConversion"/>
  <pageMargins left="0.7" right="0.7" top="0.75" bottom="0.75" header="0.3" footer="0.3"/>
  <ignoredErrors>
    <ignoredError sqref="J4:J6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EBE5-4F25-4FA3-BBD9-56147DBB0D93}">
  <dimension ref="B2:G10"/>
  <sheetViews>
    <sheetView tabSelected="1" workbookViewId="0">
      <selection activeCell="D3" sqref="D3"/>
    </sheetView>
  </sheetViews>
  <sheetFormatPr defaultRowHeight="14.4" x14ac:dyDescent="0.3"/>
  <cols>
    <col min="3" max="3" width="12.77734375" customWidth="1"/>
    <col min="7" max="7" width="11.44140625" customWidth="1"/>
  </cols>
  <sheetData>
    <row r="2" spans="2:7" x14ac:dyDescent="0.3">
      <c r="C2" s="17" t="s">
        <v>17</v>
      </c>
      <c r="D2" s="8" t="s">
        <v>18</v>
      </c>
      <c r="E2" s="8" t="s">
        <v>19</v>
      </c>
      <c r="F2" s="8" t="s">
        <v>20</v>
      </c>
      <c r="G2" s="8" t="s">
        <v>21</v>
      </c>
    </row>
    <row r="3" spans="2:7" x14ac:dyDescent="0.3">
      <c r="C3" s="17"/>
      <c r="D3" s="9">
        <f>'[1]Kursy średnie'!$I$183</f>
        <v>4.2564000000000002</v>
      </c>
      <c r="E3" s="9">
        <f>'[1]Kursy średnie'!$C$183</f>
        <v>3.5985999999999998</v>
      </c>
      <c r="F3" s="9">
        <f>'[1]Kursy średnie'!$L$183</f>
        <v>4.9085000000000001</v>
      </c>
      <c r="G3" s="9">
        <f>'[1]Kursy średnie'!$K$183</f>
        <v>4.5601000000000003</v>
      </c>
    </row>
    <row r="5" spans="2:7" x14ac:dyDescent="0.3">
      <c r="C5" s="10" t="s">
        <v>22</v>
      </c>
      <c r="D5" s="10" t="s">
        <v>23</v>
      </c>
      <c r="E5" s="10" t="s">
        <v>24</v>
      </c>
      <c r="F5" s="10" t="s">
        <v>25</v>
      </c>
      <c r="G5" s="10" t="s">
        <v>26</v>
      </c>
    </row>
    <row r="6" spans="2:7" x14ac:dyDescent="0.3">
      <c r="B6" s="11" t="s">
        <v>27</v>
      </c>
      <c r="C6" s="12">
        <v>169</v>
      </c>
      <c r="D6" s="13">
        <f>C6/$D$3</f>
        <v>39.704914951602291</v>
      </c>
      <c r="E6" s="14">
        <f>C6/$E$3</f>
        <v>46.962707719668764</v>
      </c>
      <c r="F6" s="15">
        <f>C6/$F$3</f>
        <v>34.430070286238156</v>
      </c>
      <c r="G6" s="16">
        <f>C6/$G$3</f>
        <v>37.060590776518055</v>
      </c>
    </row>
    <row r="7" spans="2:7" x14ac:dyDescent="0.3">
      <c r="B7" s="11" t="s">
        <v>28</v>
      </c>
      <c r="C7" s="12">
        <v>849</v>
      </c>
      <c r="D7" s="13">
        <f t="shared" ref="D7:D10" si="0">C7/$D$3</f>
        <v>199.46433605864109</v>
      </c>
      <c r="E7" s="14">
        <f t="shared" ref="E7:E10" si="1">C7/$E$3</f>
        <v>235.92508197632415</v>
      </c>
      <c r="F7" s="15">
        <f t="shared" ref="F7:F10" si="2">C7/$F$3</f>
        <v>172.96526433737395</v>
      </c>
      <c r="G7" s="16">
        <f t="shared" ref="G7:G10" si="3">C7/$G$3</f>
        <v>186.18012762878007</v>
      </c>
    </row>
    <row r="8" spans="2:7" x14ac:dyDescent="0.3">
      <c r="B8" s="11" t="s">
        <v>29</v>
      </c>
      <c r="C8" s="12">
        <v>89.9</v>
      </c>
      <c r="D8" s="13">
        <f t="shared" si="0"/>
        <v>21.121135231651159</v>
      </c>
      <c r="E8" s="14">
        <f t="shared" si="1"/>
        <v>24.981937420107823</v>
      </c>
      <c r="F8" s="15">
        <f t="shared" si="2"/>
        <v>18.315167566466336</v>
      </c>
      <c r="G8" s="16">
        <f t="shared" si="3"/>
        <v>19.714479945615228</v>
      </c>
    </row>
    <row r="9" spans="2:7" x14ac:dyDescent="0.3">
      <c r="B9" s="11" t="s">
        <v>30</v>
      </c>
      <c r="C9" s="12">
        <v>110</v>
      </c>
      <c r="D9" s="13">
        <f t="shared" si="0"/>
        <v>25.8434357673151</v>
      </c>
      <c r="E9" s="14">
        <f t="shared" si="1"/>
        <v>30.567442894458956</v>
      </c>
      <c r="F9" s="15">
        <f t="shared" si="2"/>
        <v>22.41010492003667</v>
      </c>
      <c r="G9" s="16">
        <f t="shared" si="3"/>
        <v>24.122278020218854</v>
      </c>
    </row>
    <row r="10" spans="2:7" x14ac:dyDescent="0.3">
      <c r="B10" s="11" t="s">
        <v>31</v>
      </c>
      <c r="C10" s="12">
        <v>329</v>
      </c>
      <c r="D10" s="13">
        <f t="shared" si="0"/>
        <v>77.295366976787889</v>
      </c>
      <c r="E10" s="14">
        <f t="shared" si="1"/>
        <v>91.424442838881788</v>
      </c>
      <c r="F10" s="15">
        <f t="shared" si="2"/>
        <v>67.026586533564227</v>
      </c>
      <c r="G10" s="16">
        <f t="shared" si="3"/>
        <v>72.147540624109112</v>
      </c>
    </row>
  </sheetData>
  <mergeCells count="1">
    <mergeCell ref="C2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08C2-2048-41FC-8A60-3122C9958628}">
  <dimension ref="B2:I11"/>
  <sheetViews>
    <sheetView workbookViewId="0">
      <selection activeCell="K30" sqref="K30"/>
    </sheetView>
  </sheetViews>
  <sheetFormatPr defaultRowHeight="14.4" x14ac:dyDescent="0.3"/>
  <cols>
    <col min="2" max="2" width="12" customWidth="1"/>
    <col min="9" max="9" width="11.109375" customWidth="1"/>
  </cols>
  <sheetData>
    <row r="2" spans="2:9" x14ac:dyDescent="0.3">
      <c r="C2" t="s">
        <v>32</v>
      </c>
    </row>
    <row r="3" spans="2:9" x14ac:dyDescent="0.3"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</row>
    <row r="4" spans="2:9" x14ac:dyDescent="0.3">
      <c r="B4" t="s">
        <v>40</v>
      </c>
      <c r="C4">
        <v>135063</v>
      </c>
      <c r="D4">
        <v>200109</v>
      </c>
      <c r="E4">
        <v>275108</v>
      </c>
      <c r="F4">
        <v>122371</v>
      </c>
      <c r="G4">
        <v>291012</v>
      </c>
      <c r="H4">
        <f>SUM(C4:G4)</f>
        <v>1023663</v>
      </c>
      <c r="I4">
        <f>IF(H4&gt;1000000,500,_xleta.NA)</f>
        <v>500</v>
      </c>
    </row>
    <row r="5" spans="2:9" x14ac:dyDescent="0.3">
      <c r="B5" t="s">
        <v>41</v>
      </c>
      <c r="C5">
        <v>296769</v>
      </c>
      <c r="D5">
        <v>176202</v>
      </c>
      <c r="E5">
        <v>258554</v>
      </c>
      <c r="F5">
        <v>132419</v>
      </c>
      <c r="G5">
        <v>122444</v>
      </c>
      <c r="H5">
        <f t="shared" ref="H5:H8" si="0">SUM(C5:G5)</f>
        <v>986388</v>
      </c>
      <c r="I5" t="str">
        <f>IF(H5&gt;1000000,500,"BRAK")</f>
        <v>BRAK</v>
      </c>
    </row>
    <row r="6" spans="2:9" x14ac:dyDescent="0.3">
      <c r="B6" t="s">
        <v>42</v>
      </c>
      <c r="C6">
        <v>112620</v>
      </c>
      <c r="D6">
        <v>133827</v>
      </c>
      <c r="E6">
        <v>209043</v>
      </c>
      <c r="F6">
        <v>131725</v>
      </c>
      <c r="G6">
        <v>229363</v>
      </c>
      <c r="H6">
        <f t="shared" si="0"/>
        <v>816578</v>
      </c>
      <c r="I6" t="str">
        <f t="shared" ref="I6:I8" si="1">IF(H6&gt;1000000,500,"BRAK")</f>
        <v>BRAK</v>
      </c>
    </row>
    <row r="7" spans="2:9" x14ac:dyDescent="0.3">
      <c r="B7" t="s">
        <v>43</v>
      </c>
      <c r="C7">
        <v>266129</v>
      </c>
      <c r="D7">
        <v>273711</v>
      </c>
      <c r="E7">
        <v>235005</v>
      </c>
      <c r="F7">
        <v>127603</v>
      </c>
      <c r="G7">
        <v>219348</v>
      </c>
      <c r="H7">
        <f t="shared" si="0"/>
        <v>1121796</v>
      </c>
      <c r="I7">
        <f t="shared" si="1"/>
        <v>500</v>
      </c>
    </row>
    <row r="8" spans="2:9" x14ac:dyDescent="0.3">
      <c r="B8" t="s">
        <v>44</v>
      </c>
      <c r="C8">
        <v>253084</v>
      </c>
      <c r="D8">
        <v>280872</v>
      </c>
      <c r="E8">
        <v>280872</v>
      </c>
      <c r="F8">
        <v>224857</v>
      </c>
      <c r="G8">
        <v>118801</v>
      </c>
      <c r="H8">
        <f t="shared" si="0"/>
        <v>1158486</v>
      </c>
      <c r="I8">
        <f t="shared" si="1"/>
        <v>500</v>
      </c>
    </row>
    <row r="11" spans="2:9" x14ac:dyDescent="0.3">
      <c r="G11" t="s">
        <v>45</v>
      </c>
      <c r="H11">
        <f>SUM(C4:H8)</f>
        <v>10213822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zadanie1</vt:lpstr>
      <vt:lpstr>zadanie2</vt:lpstr>
      <vt:lpstr>zadanie3</vt:lpstr>
      <vt:lpstr>zadanie4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FILIPEK 😜😝</dc:creator>
  <cp:lastModifiedBy>FILIPEK 😜😝</cp:lastModifiedBy>
  <dcterms:created xsi:type="dcterms:W3CDTF">2025-09-05T09:51:34Z</dcterms:created>
  <dcterms:modified xsi:type="dcterms:W3CDTF">2025-09-19T09:16:23Z</dcterms:modified>
</cp:coreProperties>
</file>